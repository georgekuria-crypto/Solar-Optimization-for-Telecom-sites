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ADC_Kplc_bill_reduction\Solar-Optimization-for-Telecom-sites\Data\"/>
    </mc:Choice>
  </mc:AlternateContent>
  <xr:revisionPtr revIDLastSave="0" documentId="13_ncr:1_{0FDFA7A2-66A8-4F5A-A5B0-5433663F4177}" xr6:coauthVersionLast="47" xr6:coauthVersionMax="47" xr10:uidLastSave="{00000000-0000-0000-0000-000000000000}"/>
  <bookViews>
    <workbookView xWindow="-110" yWindow="-110" windowWidth="19420" windowHeight="11020" xr2:uid="{F96E6A22-03C9-402C-9638-F170A625685D}"/>
  </bookViews>
  <sheets>
    <sheet name="Sheet1" sheetId="1" r:id="rId1"/>
  </sheets>
  <definedNames>
    <definedName name="_xlnm._FilterDatabase" localSheetId="0" hidden="1">Sheet1!$C$1:$C$1000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4" i="1" l="1"/>
  <c r="K6" i="1"/>
  <c r="K32" i="1"/>
  <c r="K26" i="1"/>
  <c r="K53" i="1"/>
  <c r="K19" i="1"/>
  <c r="K22" i="1"/>
  <c r="K57" i="1"/>
  <c r="K2" i="1"/>
  <c r="K8" i="1"/>
  <c r="K62" i="1"/>
  <c r="K28" i="1"/>
  <c r="K17" i="1"/>
  <c r="K16" i="1"/>
  <c r="K64" i="1"/>
  <c r="K63" i="1"/>
  <c r="K33" i="1"/>
  <c r="K7" i="1"/>
  <c r="K38" i="1"/>
  <c r="K41" i="1"/>
  <c r="K36" i="1"/>
  <c r="K23" i="1"/>
  <c r="K21" i="1"/>
  <c r="K10" i="1"/>
  <c r="K30" i="1"/>
  <c r="K48" i="1"/>
  <c r="K20" i="1"/>
  <c r="K3" i="1"/>
  <c r="K56" i="1"/>
  <c r="K60" i="1"/>
  <c r="K65" i="1"/>
  <c r="K29" i="1"/>
  <c r="K24" i="1"/>
  <c r="K47" i="1"/>
  <c r="K4" i="1"/>
  <c r="K43" i="1"/>
  <c r="K44" i="1"/>
  <c r="K15" i="1"/>
  <c r="K42" i="1"/>
  <c r="K14" i="1"/>
  <c r="K27" i="1"/>
  <c r="K37" i="1"/>
  <c r="K13" i="1"/>
  <c r="K61" i="1"/>
  <c r="K46" i="1"/>
  <c r="K18" i="1"/>
  <c r="K12" i="1"/>
  <c r="K51" i="1"/>
  <c r="K39" i="1"/>
  <c r="K58" i="1"/>
  <c r="K55" i="1"/>
  <c r="K34" i="1"/>
  <c r="K59" i="1"/>
  <c r="K31" i="1"/>
  <c r="K40" i="1"/>
  <c r="K5" i="1"/>
  <c r="K25" i="1"/>
  <c r="K45" i="1"/>
  <c r="K52" i="1"/>
  <c r="K50" i="1"/>
  <c r="K35" i="1"/>
  <c r="K9" i="1"/>
  <c r="K49" i="1"/>
  <c r="K11" i="1"/>
  <c r="L39" i="1"/>
  <c r="H39" i="1"/>
  <c r="L12" i="1"/>
  <c r="H12" i="1"/>
  <c r="L58" i="1"/>
  <c r="H58" i="1"/>
  <c r="L14" i="1"/>
  <c r="H14" i="1"/>
  <c r="L51" i="1"/>
  <c r="H51" i="1"/>
  <c r="L44" i="1"/>
  <c r="H44" i="1"/>
  <c r="L18" i="1"/>
  <c r="H18" i="1"/>
  <c r="L4" i="1"/>
  <c r="H4" i="1"/>
  <c r="L27" i="1"/>
  <c r="H27" i="1"/>
  <c r="L49" i="1"/>
  <c r="H49" i="1"/>
  <c r="L60" i="1"/>
  <c r="H60" i="1"/>
  <c r="L13" i="1"/>
  <c r="H13" i="1"/>
  <c r="L46" i="1"/>
  <c r="H46" i="1"/>
  <c r="L15" i="1"/>
  <c r="H15" i="1"/>
  <c r="L3" i="1"/>
  <c r="H3" i="1"/>
  <c r="L42" i="1"/>
  <c r="H42" i="1"/>
  <c r="L37" i="1"/>
  <c r="H37" i="1"/>
  <c r="L61" i="1"/>
  <c r="H61" i="1"/>
  <c r="L43" i="1"/>
  <c r="H43" i="1"/>
  <c r="L47" i="1"/>
  <c r="H47" i="1"/>
  <c r="L16" i="1"/>
  <c r="H16" i="1"/>
  <c r="L29" i="1"/>
  <c r="H29" i="1"/>
  <c r="L38" i="1"/>
  <c r="H38" i="1"/>
  <c r="L56" i="1"/>
  <c r="H56" i="1"/>
  <c r="L20" i="1"/>
  <c r="H20" i="1"/>
  <c r="L65" i="1"/>
  <c r="H65" i="1"/>
  <c r="L28" i="1"/>
  <c r="H28" i="1"/>
  <c r="L24" i="1"/>
  <c r="H24" i="1"/>
  <c r="L48" i="1"/>
  <c r="H48" i="1"/>
  <c r="L10" i="1"/>
  <c r="H10" i="1"/>
  <c r="L9" i="1"/>
  <c r="H9" i="1"/>
  <c r="L30" i="1"/>
  <c r="H30" i="1"/>
  <c r="L64" i="1"/>
  <c r="H64" i="1"/>
  <c r="L36" i="1"/>
  <c r="H36" i="1"/>
  <c r="L35" i="1"/>
  <c r="H35" i="1"/>
  <c r="L21" i="1"/>
  <c r="H21" i="1"/>
  <c r="L50" i="1"/>
  <c r="H50" i="1"/>
  <c r="L52" i="1"/>
  <c r="H52" i="1"/>
  <c r="L62" i="1"/>
  <c r="H62" i="1"/>
  <c r="L45" i="1"/>
  <c r="H45" i="1"/>
  <c r="L25" i="1"/>
  <c r="H25" i="1"/>
  <c r="L5" i="1"/>
  <c r="H5" i="1"/>
  <c r="L23" i="1"/>
  <c r="H23" i="1"/>
  <c r="L41" i="1"/>
  <c r="H41" i="1"/>
  <c r="L7" i="1"/>
  <c r="H7" i="1"/>
  <c r="L8" i="1"/>
  <c r="H8" i="1"/>
  <c r="L33" i="1"/>
  <c r="H33" i="1"/>
  <c r="L40" i="1"/>
  <c r="H40" i="1"/>
  <c r="L63" i="1"/>
  <c r="H63" i="1"/>
  <c r="L2" i="1"/>
  <c r="H2" i="1"/>
  <c r="L57" i="1"/>
  <c r="H57" i="1"/>
  <c r="L31" i="1"/>
  <c r="H31" i="1"/>
  <c r="L22" i="1"/>
  <c r="H22" i="1"/>
  <c r="L59" i="1"/>
  <c r="H59" i="1"/>
  <c r="L17" i="1"/>
  <c r="H17" i="1"/>
  <c r="L34" i="1"/>
  <c r="H34" i="1"/>
  <c r="L26" i="1"/>
  <c r="H26" i="1"/>
  <c r="L53" i="1"/>
  <c r="H53" i="1"/>
  <c r="L6" i="1"/>
  <c r="H6" i="1"/>
  <c r="L19" i="1"/>
  <c r="H19" i="1"/>
  <c r="L32" i="1"/>
  <c r="H32" i="1"/>
  <c r="L54" i="1"/>
  <c r="H54" i="1"/>
  <c r="L55" i="1"/>
  <c r="H55" i="1"/>
  <c r="L11" i="1"/>
  <c r="H11" i="1"/>
</calcChain>
</file>

<file path=xl/sharedStrings.xml><?xml version="1.0" encoding="utf-8"?>
<sst xmlns="http://schemas.openxmlformats.org/spreadsheetml/2006/main" count="270" uniqueCount="85">
  <si>
    <t>No.</t>
  </si>
  <si>
    <t>Site Name</t>
  </si>
  <si>
    <t>Power_Source</t>
  </si>
  <si>
    <t>Single/Coloc</t>
  </si>
  <si>
    <t>PV Capacity (Kw)</t>
  </si>
  <si>
    <t>Solar Expected Yield</t>
  </si>
  <si>
    <t>Battery Capacity (AH)</t>
  </si>
  <si>
    <t>Battery Capacity (kWh)</t>
  </si>
  <si>
    <t>Ebusakami</t>
  </si>
  <si>
    <t>DG-Grid-Solar</t>
  </si>
  <si>
    <t>COLOC</t>
  </si>
  <si>
    <t>Ruaraka Bensloft Apartments</t>
  </si>
  <si>
    <t>Grid-Solar</t>
  </si>
  <si>
    <t>Riat North</t>
  </si>
  <si>
    <t>Kisumu St. Paul</t>
  </si>
  <si>
    <t>Kamae Road</t>
  </si>
  <si>
    <t>Bikeke</t>
  </si>
  <si>
    <t>SINGLE</t>
  </si>
  <si>
    <t>Redsoil Fifth Street</t>
  </si>
  <si>
    <t>Kembu Market</t>
  </si>
  <si>
    <t>Kobongo</t>
  </si>
  <si>
    <t>Green House Huruma</t>
  </si>
  <si>
    <t>Sinoko Chepkaos</t>
  </si>
  <si>
    <t>Kanyawanga</t>
  </si>
  <si>
    <t>Kisumu Kunya</t>
  </si>
  <si>
    <t>Segere</t>
  </si>
  <si>
    <t>Ahadi Learning Center</t>
  </si>
  <si>
    <t>Umoja Tumaini</t>
  </si>
  <si>
    <t>Mathare Comboni</t>
  </si>
  <si>
    <t>Kitale Site &amp; Service Estate</t>
  </si>
  <si>
    <t>Busia Amerikwai</t>
  </si>
  <si>
    <t>Bosose</t>
  </si>
  <si>
    <t>Mathare North</t>
  </si>
  <si>
    <t>Kapchelal</t>
  </si>
  <si>
    <t>Bar Kowino</t>
  </si>
  <si>
    <t>Kehancha Town</t>
  </si>
  <si>
    <t>Mukoma Court</t>
  </si>
  <si>
    <t>Sunton Gituamba</t>
  </si>
  <si>
    <t>Pipeline Learning Centre</t>
  </si>
  <si>
    <t>Obama/Bondo Market</t>
  </si>
  <si>
    <t>Kamunono</t>
  </si>
  <si>
    <t>Lengenet</t>
  </si>
  <si>
    <t>Longisa Market</t>
  </si>
  <si>
    <t>Utawala Amani</t>
  </si>
  <si>
    <t>Kipsergech</t>
  </si>
  <si>
    <t>Camp David</t>
  </si>
  <si>
    <t>East Karateng</t>
  </si>
  <si>
    <t>Ngesumin</t>
  </si>
  <si>
    <t>Kariobangi North</t>
  </si>
  <si>
    <t>Kimuri</t>
  </si>
  <si>
    <t>Zimmerman Roriye</t>
  </si>
  <si>
    <t>Kamngetich</t>
  </si>
  <si>
    <t>Sambut</t>
  </si>
  <si>
    <t>Marongo</t>
  </si>
  <si>
    <t>Kipsangui</t>
  </si>
  <si>
    <t>Gita</t>
  </si>
  <si>
    <t>Ndeffo</t>
  </si>
  <si>
    <t>MCA Building (Shabir Plaza)</t>
  </si>
  <si>
    <t>Spiral Heights/Starehe House</t>
  </si>
  <si>
    <t>Machakusi</t>
  </si>
  <si>
    <t>Matungu</t>
  </si>
  <si>
    <t>Akala Kisian</t>
  </si>
  <si>
    <t>Gisambai Vihiga</t>
  </si>
  <si>
    <t>Munami</t>
  </si>
  <si>
    <t>Garissa Livestock</t>
  </si>
  <si>
    <t>Siongiroi</t>
  </si>
  <si>
    <t>Nyandiwa Beach</t>
  </si>
  <si>
    <t>Kimorori Wempa</t>
  </si>
  <si>
    <t>Asembo Bay</t>
  </si>
  <si>
    <t>Ikombe</t>
  </si>
  <si>
    <t>Migwani</t>
  </si>
  <si>
    <t>Ololulung'a</t>
  </si>
  <si>
    <t>Gendia</t>
  </si>
  <si>
    <t>Siana</t>
  </si>
  <si>
    <t>G2 Pipeline</t>
  </si>
  <si>
    <t>Masimba LC</t>
  </si>
  <si>
    <t>2026 Average Monthly Bill</t>
  </si>
  <si>
    <t>Batteries that can be added</t>
  </si>
  <si>
    <t>Rectifier Type</t>
  </si>
  <si>
    <t>Rectifier Capacity</t>
  </si>
  <si>
    <t>PV Capacity that can be added</t>
  </si>
  <si>
    <t>Eltek</t>
  </si>
  <si>
    <t>Megmeet FSU</t>
  </si>
  <si>
    <t>Megmeet</t>
  </si>
  <si>
    <t>Revised Average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</si>
</sst>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3" borderId="1" xfId="0" applyFill="1" applyBorder="1"/>
    <xf numFmtId="0" fontId="3" fillId="3" borderId="4" xfId="0" applyFont="1" applyFill="1" applyBorder="1" applyAlignment="1">
      <alignment readingOrder="1"/>
    </xf>
    <xf numFmtId="0" fontId="4" fillId="3" borderId="3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readingOrder="1"/>
    </xf>
    <xf numFmtId="0" fontId="4" fillId="3" borderId="1" xfId="0" applyFont="1" applyFill="1" applyBorder="1" applyAlignment="1">
      <alignment readingOrder="1"/>
    </xf>
    <xf numFmtId="0" fontId="0" fillId="0" borderId="3" xfId="0" applyBorder="1"/>
    <xf numFmtId="0" fontId="2" fillId="2" borderId="4" xfId="0" applyFont="1" applyFill="1" applyBorder="1" applyAlignment="1">
      <alignment horizontal="left" vertical="top" wrapText="1"/>
    </xf>
    <xf numFmtId="0" fontId="0" fillId="3" borderId="4" xfId="0" applyFill="1" applyBorder="1"/>
    <xf numFmtId="164" fontId="2" fillId="2" borderId="3" xfId="1" applyFont="1" applyFill="1" applyBorder="1" applyAlignment="1">
      <alignment horizontal="left" vertical="top" wrapText="1"/>
    </xf>
    <xf numFmtId="164" fontId="0" fillId="0" borderId="3" xfId="1" applyFont="1" applyBorder="1"/>
    <xf numFmtId="164" fontId="0" fillId="0" borderId="0" xfId="1" applyFont="1"/>
    <xf numFmtId="0" fontId="0" fillId="3" borderId="3" xfId="0" applyFill="1" applyBorder="1"/>
    <xf numFmtId="0" fontId="0" fillId="4" borderId="1" xfId="0" applyFill="1" applyBorder="1"/>
    <xf numFmtId="0" fontId="3" fillId="4" borderId="4" xfId="0" applyFont="1" applyFill="1" applyBorder="1" applyAlignment="1">
      <alignment readingOrder="1"/>
    </xf>
    <xf numFmtId="0" fontId="4" fillId="4" borderId="3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readingOrder="1"/>
    </xf>
    <xf numFmtId="0" fontId="4" fillId="4" borderId="1" xfId="0" applyFont="1" applyFill="1" applyBorder="1" applyAlignment="1">
      <alignment readingOrder="1"/>
    </xf>
    <xf numFmtId="0" fontId="0" fillId="4" borderId="3" xfId="0" applyFill="1" applyBorder="1"/>
    <xf numFmtId="0" fontId="0" fillId="4" borderId="4" xfId="0" applyFill="1" applyBorder="1"/>
    <xf numFmtId="164" fontId="0" fillId="4" borderId="3" xfId="1" applyFont="1" applyFill="1" applyBorder="1"/>
    <xf numFmtId="0" fontId="0" fillId="4" borderId="0" xfId="0" applyFill="1"/>
  </cellXfs>
  <cellStyles count="4">
    <cellStyle name="Comma" xfId="1" builtinId="3"/>
    <cellStyle name="Comma 2" xfId="3" xr:uid="{A7E8A4D4-12BB-4516-AD42-181034102FDE}"/>
    <cellStyle name="Normal" xfId="0" builtinId="0"/>
    <cellStyle name="Normal 2" xfId="2" xr:uid="{92CFA82F-1B6A-4A30-B02F-C2C7FEEF0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6084-F924-4537-8708-65308EBA345A}">
  <dimension ref="A1:N65"/>
  <sheetViews>
    <sheetView tabSelected="1" zoomScale="75" zoomScaleNormal="75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H3" sqref="H3"/>
    </sheetView>
  </sheetViews>
  <sheetFormatPr defaultRowHeight="14.5" x14ac:dyDescent="0.35"/>
  <cols>
    <col min="1" max="1" width="4" bestFit="1" customWidth="1"/>
    <col min="2" max="2" width="30.26953125" bestFit="1" customWidth="1"/>
    <col min="3" max="3" width="13.26953125" bestFit="1" customWidth="1"/>
    <col min="4" max="4" width="12.26953125" bestFit="1" customWidth="1"/>
    <col min="5" max="5" width="12.90625" bestFit="1" customWidth="1"/>
    <col min="6" max="6" width="12.26953125" customWidth="1"/>
    <col min="7" max="7" width="11.08984375" customWidth="1"/>
    <col min="8" max="8" width="14.54296875" customWidth="1"/>
    <col min="9" max="9" width="15.90625" customWidth="1"/>
    <col min="10" max="10" width="14.26953125" customWidth="1"/>
    <col min="11" max="11" width="13.08984375" customWidth="1"/>
    <col min="12" max="12" width="14.26953125" customWidth="1"/>
    <col min="13" max="13" width="13.54296875" style="14" customWidth="1"/>
    <col min="14" max="14" width="10" style="14" bestFit="1" customWidth="1"/>
  </cols>
  <sheetData>
    <row r="1" spans="1:14" ht="43.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78</v>
      </c>
      <c r="F1" s="1" t="s">
        <v>79</v>
      </c>
      <c r="G1" s="1" t="s">
        <v>4</v>
      </c>
      <c r="H1" s="3" t="s">
        <v>5</v>
      </c>
      <c r="I1" s="1" t="s">
        <v>80</v>
      </c>
      <c r="J1" s="1" t="s">
        <v>6</v>
      </c>
      <c r="K1" s="10" t="s">
        <v>77</v>
      </c>
      <c r="L1" s="3" t="s">
        <v>7</v>
      </c>
      <c r="M1" s="12" t="s">
        <v>76</v>
      </c>
      <c r="N1" s="12" t="s">
        <v>84</v>
      </c>
    </row>
    <row r="2" spans="1:14" x14ac:dyDescent="0.35">
      <c r="A2" s="4">
        <v>10</v>
      </c>
      <c r="B2" s="5" t="s">
        <v>26</v>
      </c>
      <c r="C2" s="6" t="s">
        <v>12</v>
      </c>
      <c r="D2" s="7" t="s">
        <v>10</v>
      </c>
      <c r="E2" s="7" t="s">
        <v>81</v>
      </c>
      <c r="F2" s="7">
        <v>18</v>
      </c>
      <c r="G2" s="8">
        <v>10.35</v>
      </c>
      <c r="H2" s="9">
        <f t="shared" ref="H2:H33" si="0">G2*4.5</f>
        <v>46.574999999999996</v>
      </c>
      <c r="I2" s="7"/>
      <c r="J2" s="4">
        <v>1000</v>
      </c>
      <c r="K2" s="11">
        <f t="shared" ref="K2:K33" si="1">1000-J2</f>
        <v>0</v>
      </c>
      <c r="L2" s="15">
        <f t="shared" ref="L2:L33" si="2">(J2*54.5)/1000</f>
        <v>54.5</v>
      </c>
      <c r="M2" s="13">
        <v>105693</v>
      </c>
      <c r="N2" s="13">
        <v>5.23</v>
      </c>
    </row>
    <row r="3" spans="1:14" x14ac:dyDescent="0.35">
      <c r="A3" s="4">
        <v>29</v>
      </c>
      <c r="B3" s="5" t="s">
        <v>61</v>
      </c>
      <c r="C3" s="6" t="s">
        <v>9</v>
      </c>
      <c r="D3" s="7" t="s">
        <v>17</v>
      </c>
      <c r="E3" s="7" t="s">
        <v>82</v>
      </c>
      <c r="F3" s="7">
        <v>12</v>
      </c>
      <c r="G3" s="8">
        <v>8.0500000000000007</v>
      </c>
      <c r="H3" s="9">
        <f t="shared" si="0"/>
        <v>36.225000000000001</v>
      </c>
      <c r="I3" s="7"/>
      <c r="J3" s="4">
        <v>400</v>
      </c>
      <c r="K3" s="11">
        <f t="shared" si="1"/>
        <v>600</v>
      </c>
      <c r="L3" s="15">
        <f t="shared" si="2"/>
        <v>21.8</v>
      </c>
      <c r="M3" s="13">
        <v>54822.33</v>
      </c>
      <c r="N3" s="13">
        <v>4.09</v>
      </c>
    </row>
    <row r="4" spans="1:14" x14ac:dyDescent="0.35">
      <c r="A4" s="4">
        <v>36</v>
      </c>
      <c r="B4" s="5" t="s">
        <v>68</v>
      </c>
      <c r="C4" s="6" t="s">
        <v>9</v>
      </c>
      <c r="D4" s="7" t="s">
        <v>17</v>
      </c>
      <c r="E4" s="7" t="s">
        <v>82</v>
      </c>
      <c r="F4" s="7">
        <v>12</v>
      </c>
      <c r="G4" s="8">
        <v>8.0500000000000007</v>
      </c>
      <c r="H4" s="9">
        <f t="shared" si="0"/>
        <v>36.225000000000001</v>
      </c>
      <c r="I4" s="7"/>
      <c r="J4" s="4">
        <v>400</v>
      </c>
      <c r="K4" s="11">
        <f t="shared" si="1"/>
        <v>600</v>
      </c>
      <c r="L4" s="15">
        <f t="shared" si="2"/>
        <v>21.8</v>
      </c>
      <c r="M4" s="13">
        <v>41595.67</v>
      </c>
      <c r="N4" s="13">
        <v>3.98</v>
      </c>
    </row>
    <row r="5" spans="1:14" s="24" customFormat="1" x14ac:dyDescent="0.35">
      <c r="A5" s="16">
        <v>57</v>
      </c>
      <c r="B5" s="17" t="s">
        <v>34</v>
      </c>
      <c r="C5" s="18" t="s">
        <v>9</v>
      </c>
      <c r="D5" s="19" t="s">
        <v>17</v>
      </c>
      <c r="E5" s="19" t="s">
        <v>81</v>
      </c>
      <c r="F5" s="19">
        <v>18</v>
      </c>
      <c r="G5" s="20">
        <v>11.5</v>
      </c>
      <c r="H5" s="21">
        <f t="shared" si="0"/>
        <v>51.75</v>
      </c>
      <c r="I5" s="19"/>
      <c r="J5" s="16">
        <v>500</v>
      </c>
      <c r="K5" s="22">
        <f t="shared" si="1"/>
        <v>500</v>
      </c>
      <c r="L5" s="21">
        <f t="shared" si="2"/>
        <v>27.25</v>
      </c>
      <c r="M5" s="23">
        <v>0</v>
      </c>
      <c r="N5" s="23">
        <v>4.47</v>
      </c>
    </row>
    <row r="6" spans="1:14" x14ac:dyDescent="0.35">
      <c r="A6" s="4">
        <v>3</v>
      </c>
      <c r="B6" s="5" t="s">
        <v>16</v>
      </c>
      <c r="C6" s="6" t="s">
        <v>9</v>
      </c>
      <c r="D6" s="7" t="s">
        <v>17</v>
      </c>
      <c r="E6" s="7" t="s">
        <v>81</v>
      </c>
      <c r="F6" s="7">
        <v>18</v>
      </c>
      <c r="G6" s="8">
        <v>6.9</v>
      </c>
      <c r="H6" s="9">
        <f t="shared" si="0"/>
        <v>31.05</v>
      </c>
      <c r="I6" s="7"/>
      <c r="J6" s="4">
        <v>600</v>
      </c>
      <c r="K6" s="11">
        <f t="shared" si="1"/>
        <v>400</v>
      </c>
      <c r="L6" s="15">
        <f t="shared" si="2"/>
        <v>32.700000000000003</v>
      </c>
      <c r="M6" s="13">
        <v>166237</v>
      </c>
      <c r="N6" s="13">
        <v>10.52</v>
      </c>
    </row>
    <row r="7" spans="1:14" x14ac:dyDescent="0.35">
      <c r="A7" s="4">
        <v>19</v>
      </c>
      <c r="B7" s="5" t="s">
        <v>31</v>
      </c>
      <c r="C7" s="6" t="s">
        <v>9</v>
      </c>
      <c r="D7" s="7" t="s">
        <v>17</v>
      </c>
      <c r="E7" s="7" t="s">
        <v>81</v>
      </c>
      <c r="F7" s="7">
        <v>18</v>
      </c>
      <c r="G7" s="8">
        <v>6.9</v>
      </c>
      <c r="H7" s="9">
        <f t="shared" si="0"/>
        <v>31.05</v>
      </c>
      <c r="I7" s="7"/>
      <c r="J7" s="4">
        <v>600</v>
      </c>
      <c r="K7" s="11">
        <f t="shared" si="1"/>
        <v>400</v>
      </c>
      <c r="L7" s="15">
        <f t="shared" si="2"/>
        <v>32.700000000000003</v>
      </c>
      <c r="M7" s="13">
        <v>78048.67</v>
      </c>
      <c r="N7" s="13">
        <v>4.6900000000000004</v>
      </c>
    </row>
    <row r="8" spans="1:14" x14ac:dyDescent="0.35">
      <c r="A8" s="4">
        <v>11</v>
      </c>
      <c r="B8" s="5" t="s">
        <v>30</v>
      </c>
      <c r="C8" s="6" t="s">
        <v>9</v>
      </c>
      <c r="D8" s="7" t="s">
        <v>17</v>
      </c>
      <c r="E8" s="7" t="s">
        <v>81</v>
      </c>
      <c r="F8" s="7">
        <v>18</v>
      </c>
      <c r="G8" s="8">
        <v>9.1999999999999993</v>
      </c>
      <c r="H8" s="9">
        <f t="shared" si="0"/>
        <v>41.4</v>
      </c>
      <c r="I8" s="7"/>
      <c r="J8" s="4">
        <v>600</v>
      </c>
      <c r="K8" s="11">
        <f t="shared" si="1"/>
        <v>400</v>
      </c>
      <c r="L8" s="15">
        <f t="shared" si="2"/>
        <v>32.700000000000003</v>
      </c>
      <c r="M8" s="13">
        <v>97721.33</v>
      </c>
      <c r="N8" s="13">
        <v>6.87</v>
      </c>
    </row>
    <row r="9" spans="1:14" x14ac:dyDescent="0.35">
      <c r="A9" s="4">
        <v>63</v>
      </c>
      <c r="B9" s="5" t="s">
        <v>45</v>
      </c>
      <c r="C9" s="6" t="s">
        <v>12</v>
      </c>
      <c r="D9" s="7" t="s">
        <v>17</v>
      </c>
      <c r="E9" s="7" t="s">
        <v>81</v>
      </c>
      <c r="F9" s="7">
        <v>18</v>
      </c>
      <c r="G9" s="8">
        <v>10.35</v>
      </c>
      <c r="H9" s="9">
        <f t="shared" si="0"/>
        <v>46.574999999999996</v>
      </c>
      <c r="I9" s="7"/>
      <c r="J9" s="4">
        <v>800</v>
      </c>
      <c r="K9" s="11">
        <f t="shared" si="1"/>
        <v>200</v>
      </c>
      <c r="L9" s="15">
        <f t="shared" si="2"/>
        <v>43.6</v>
      </c>
      <c r="M9" s="13">
        <v>68711</v>
      </c>
      <c r="N9" s="13">
        <v>6.05</v>
      </c>
    </row>
    <row r="10" spans="1:14" x14ac:dyDescent="0.35">
      <c r="A10" s="4">
        <v>25</v>
      </c>
      <c r="B10" s="5" t="s">
        <v>46</v>
      </c>
      <c r="C10" s="6" t="s">
        <v>9</v>
      </c>
      <c r="D10" s="7" t="s">
        <v>17</v>
      </c>
      <c r="E10" s="7" t="s">
        <v>81</v>
      </c>
      <c r="F10" s="7">
        <v>18</v>
      </c>
      <c r="G10" s="8">
        <v>16</v>
      </c>
      <c r="H10" s="9">
        <f t="shared" si="0"/>
        <v>72</v>
      </c>
      <c r="I10" s="7"/>
      <c r="J10" s="4">
        <v>500</v>
      </c>
      <c r="K10" s="11">
        <f t="shared" si="1"/>
        <v>500</v>
      </c>
      <c r="L10" s="15">
        <f t="shared" si="2"/>
        <v>27.25</v>
      </c>
      <c r="M10" s="13">
        <v>67379.33</v>
      </c>
      <c r="N10" s="13">
        <v>4.58</v>
      </c>
    </row>
    <row r="11" spans="1:14" x14ac:dyDescent="0.35">
      <c r="A11" s="4">
        <v>1</v>
      </c>
      <c r="B11" s="5" t="s">
        <v>8</v>
      </c>
      <c r="C11" s="6" t="s">
        <v>9</v>
      </c>
      <c r="D11" s="7" t="s">
        <v>10</v>
      </c>
      <c r="E11" s="7" t="s">
        <v>81</v>
      </c>
      <c r="F11" s="7">
        <v>18</v>
      </c>
      <c r="G11" s="8">
        <v>16</v>
      </c>
      <c r="H11" s="9">
        <f t="shared" si="0"/>
        <v>72</v>
      </c>
      <c r="I11" s="7"/>
      <c r="J11" s="4">
        <v>800</v>
      </c>
      <c r="K11" s="11">
        <f t="shared" si="1"/>
        <v>200</v>
      </c>
      <c r="L11" s="15">
        <f t="shared" si="2"/>
        <v>43.6</v>
      </c>
      <c r="M11" s="13">
        <v>221549</v>
      </c>
      <c r="N11" s="13">
        <v>13.24</v>
      </c>
    </row>
    <row r="12" spans="1:14" x14ac:dyDescent="0.35">
      <c r="A12" s="4">
        <v>48</v>
      </c>
      <c r="B12" s="5" t="s">
        <v>74</v>
      </c>
      <c r="C12" s="6" t="s">
        <v>12</v>
      </c>
      <c r="D12" s="7" t="s">
        <v>17</v>
      </c>
      <c r="E12" s="7" t="s">
        <v>81</v>
      </c>
      <c r="F12" s="7">
        <v>18</v>
      </c>
      <c r="G12" s="8">
        <v>12.074999999999999</v>
      </c>
      <c r="H12" s="9">
        <f t="shared" si="0"/>
        <v>54.337499999999999</v>
      </c>
      <c r="I12" s="7"/>
      <c r="J12" s="4">
        <v>800</v>
      </c>
      <c r="K12" s="11">
        <f t="shared" si="1"/>
        <v>200</v>
      </c>
      <c r="L12" s="15">
        <f t="shared" si="2"/>
        <v>43.6</v>
      </c>
      <c r="M12" s="13">
        <v>24031.67</v>
      </c>
      <c r="N12" s="13">
        <v>2.23</v>
      </c>
    </row>
    <row r="13" spans="1:14" x14ac:dyDescent="0.35">
      <c r="A13" s="4">
        <v>44</v>
      </c>
      <c r="B13" s="5" t="s">
        <v>64</v>
      </c>
      <c r="C13" s="6" t="s">
        <v>9</v>
      </c>
      <c r="D13" s="7" t="s">
        <v>17</v>
      </c>
      <c r="E13" s="7" t="s">
        <v>81</v>
      </c>
      <c r="F13" s="7">
        <v>18</v>
      </c>
      <c r="G13" s="8">
        <v>13.8</v>
      </c>
      <c r="H13" s="9">
        <f t="shared" si="0"/>
        <v>62.1</v>
      </c>
      <c r="I13" s="7"/>
      <c r="J13" s="4">
        <v>1000</v>
      </c>
      <c r="K13" s="11">
        <f t="shared" si="1"/>
        <v>0</v>
      </c>
      <c r="L13" s="15">
        <f t="shared" si="2"/>
        <v>54.5</v>
      </c>
      <c r="M13" s="13">
        <v>33837</v>
      </c>
      <c r="N13" s="13">
        <v>3.54</v>
      </c>
    </row>
    <row r="14" spans="1:14" x14ac:dyDescent="0.35">
      <c r="A14" s="4">
        <v>41</v>
      </c>
      <c r="B14" s="5" t="s">
        <v>72</v>
      </c>
      <c r="C14" s="6" t="s">
        <v>9</v>
      </c>
      <c r="D14" s="7" t="s">
        <v>17</v>
      </c>
      <c r="E14" s="7" t="s">
        <v>82</v>
      </c>
      <c r="F14" s="7">
        <v>12</v>
      </c>
      <c r="G14" s="8">
        <v>8.0500000000000007</v>
      </c>
      <c r="H14" s="9">
        <f t="shared" si="0"/>
        <v>36.225000000000001</v>
      </c>
      <c r="I14" s="7"/>
      <c r="J14" s="4">
        <v>400</v>
      </c>
      <c r="K14" s="11">
        <f t="shared" si="1"/>
        <v>600</v>
      </c>
      <c r="L14" s="15">
        <f t="shared" si="2"/>
        <v>21.8</v>
      </c>
      <c r="M14" s="13">
        <v>34290.5</v>
      </c>
      <c r="N14" s="13">
        <v>2.5099999999999998</v>
      </c>
    </row>
    <row r="15" spans="1:14" x14ac:dyDescent="0.35">
      <c r="A15" s="4">
        <v>39</v>
      </c>
      <c r="B15" s="5" t="s">
        <v>62</v>
      </c>
      <c r="C15" s="6" t="s">
        <v>9</v>
      </c>
      <c r="D15" s="7" t="s">
        <v>17</v>
      </c>
      <c r="E15" s="7" t="s">
        <v>82</v>
      </c>
      <c r="F15" s="7">
        <v>12</v>
      </c>
      <c r="G15" s="8">
        <v>8.0500000000000007</v>
      </c>
      <c r="H15" s="9">
        <f t="shared" si="0"/>
        <v>36.225000000000001</v>
      </c>
      <c r="I15" s="7"/>
      <c r="J15" s="4">
        <v>400</v>
      </c>
      <c r="K15" s="11">
        <f t="shared" si="1"/>
        <v>600</v>
      </c>
      <c r="L15" s="15">
        <f t="shared" si="2"/>
        <v>21.8</v>
      </c>
      <c r="M15" s="13">
        <v>35487</v>
      </c>
      <c r="N15" s="13">
        <v>2.4500000000000002</v>
      </c>
    </row>
    <row r="16" spans="1:14" x14ac:dyDescent="0.35">
      <c r="A16" s="4">
        <v>15</v>
      </c>
      <c r="B16" s="5" t="s">
        <v>55</v>
      </c>
      <c r="C16" s="6" t="s">
        <v>9</v>
      </c>
      <c r="D16" s="7" t="s">
        <v>17</v>
      </c>
      <c r="E16" s="7" t="s">
        <v>81</v>
      </c>
      <c r="F16" s="7">
        <v>18</v>
      </c>
      <c r="G16" s="8">
        <v>13.23</v>
      </c>
      <c r="H16" s="9">
        <f t="shared" si="0"/>
        <v>59.535000000000004</v>
      </c>
      <c r="I16" s="7"/>
      <c r="J16" s="4">
        <v>400</v>
      </c>
      <c r="K16" s="11">
        <f t="shared" si="1"/>
        <v>600</v>
      </c>
      <c r="L16" s="15">
        <f t="shared" si="2"/>
        <v>21.8</v>
      </c>
      <c r="M16" s="13">
        <v>91746</v>
      </c>
      <c r="N16" s="13">
        <v>6.81</v>
      </c>
    </row>
    <row r="17" spans="1:14" x14ac:dyDescent="0.35">
      <c r="A17" s="4">
        <v>14</v>
      </c>
      <c r="B17" s="5" t="s">
        <v>21</v>
      </c>
      <c r="C17" s="6" t="s">
        <v>12</v>
      </c>
      <c r="D17" s="7" t="s">
        <v>10</v>
      </c>
      <c r="E17" s="7" t="s">
        <v>81</v>
      </c>
      <c r="F17" s="7">
        <v>18</v>
      </c>
      <c r="G17" s="8">
        <v>16.100000000000001</v>
      </c>
      <c r="H17" s="9">
        <f t="shared" si="0"/>
        <v>72.45</v>
      </c>
      <c r="I17" s="7"/>
      <c r="J17" s="4">
        <v>1000</v>
      </c>
      <c r="K17" s="11">
        <f t="shared" si="1"/>
        <v>0</v>
      </c>
      <c r="L17" s="15">
        <f t="shared" si="2"/>
        <v>54.5</v>
      </c>
      <c r="M17" s="13">
        <v>95033</v>
      </c>
      <c r="N17" s="13">
        <v>7.09</v>
      </c>
    </row>
    <row r="18" spans="1:14" x14ac:dyDescent="0.35">
      <c r="A18" s="4">
        <v>47</v>
      </c>
      <c r="B18" s="5" t="s">
        <v>69</v>
      </c>
      <c r="C18" s="6" t="s">
        <v>9</v>
      </c>
      <c r="D18" s="7" t="s">
        <v>17</v>
      </c>
      <c r="E18" s="7" t="s">
        <v>82</v>
      </c>
      <c r="F18" s="7">
        <v>12</v>
      </c>
      <c r="G18" s="8">
        <v>8.0500000000000007</v>
      </c>
      <c r="H18" s="9">
        <f t="shared" si="0"/>
        <v>36.225000000000001</v>
      </c>
      <c r="I18" s="7"/>
      <c r="J18" s="4">
        <v>400</v>
      </c>
      <c r="K18" s="11">
        <f t="shared" si="1"/>
        <v>600</v>
      </c>
      <c r="L18" s="15">
        <f t="shared" si="2"/>
        <v>21.8</v>
      </c>
      <c r="M18" s="13">
        <v>30221.33</v>
      </c>
      <c r="N18" s="13">
        <v>2.34</v>
      </c>
    </row>
    <row r="19" spans="1:14" x14ac:dyDescent="0.35">
      <c r="A19" s="4">
        <v>7</v>
      </c>
      <c r="B19" s="5" t="s">
        <v>15</v>
      </c>
      <c r="C19" s="6" t="s">
        <v>12</v>
      </c>
      <c r="D19" s="7" t="s">
        <v>10</v>
      </c>
      <c r="E19" s="7" t="s">
        <v>81</v>
      </c>
      <c r="F19" s="7">
        <v>18</v>
      </c>
      <c r="G19" s="8">
        <v>16.100000000000001</v>
      </c>
      <c r="H19" s="9">
        <f t="shared" si="0"/>
        <v>72.45</v>
      </c>
      <c r="I19" s="7"/>
      <c r="J19" s="4">
        <v>1000</v>
      </c>
      <c r="K19" s="11">
        <f t="shared" si="1"/>
        <v>0</v>
      </c>
      <c r="L19" s="15">
        <f t="shared" si="2"/>
        <v>54.5</v>
      </c>
      <c r="M19" s="13">
        <v>128921.67</v>
      </c>
      <c r="N19" s="13">
        <v>8.94</v>
      </c>
    </row>
    <row r="20" spans="1:14" x14ac:dyDescent="0.35">
      <c r="A20" s="4">
        <v>28</v>
      </c>
      <c r="B20" s="5" t="s">
        <v>51</v>
      </c>
      <c r="C20" s="6" t="s">
        <v>9</v>
      </c>
      <c r="D20" s="7" t="s">
        <v>17</v>
      </c>
      <c r="E20" s="7" t="s">
        <v>81</v>
      </c>
      <c r="F20" s="7">
        <v>18</v>
      </c>
      <c r="G20" s="8">
        <v>10.35</v>
      </c>
      <c r="H20" s="9">
        <f t="shared" si="0"/>
        <v>46.574999999999996</v>
      </c>
      <c r="I20" s="7"/>
      <c r="J20" s="4">
        <v>600</v>
      </c>
      <c r="K20" s="11">
        <f t="shared" si="1"/>
        <v>400</v>
      </c>
      <c r="L20" s="15">
        <f t="shared" si="2"/>
        <v>32.700000000000003</v>
      </c>
      <c r="M20" s="13">
        <v>55554.67</v>
      </c>
      <c r="N20" s="13">
        <v>5.67</v>
      </c>
    </row>
    <row r="21" spans="1:14" x14ac:dyDescent="0.35">
      <c r="A21" s="4">
        <v>24</v>
      </c>
      <c r="B21" s="5" t="s">
        <v>40</v>
      </c>
      <c r="C21" s="6" t="s">
        <v>9</v>
      </c>
      <c r="D21" s="7" t="s">
        <v>17</v>
      </c>
      <c r="E21" s="7" t="s">
        <v>81</v>
      </c>
      <c r="F21" s="7">
        <v>18</v>
      </c>
      <c r="G21" s="8">
        <v>14</v>
      </c>
      <c r="H21" s="9">
        <f t="shared" si="0"/>
        <v>63</v>
      </c>
      <c r="I21" s="7"/>
      <c r="J21" s="4">
        <v>400</v>
      </c>
      <c r="K21" s="11">
        <f t="shared" si="1"/>
        <v>600</v>
      </c>
      <c r="L21" s="15">
        <f t="shared" si="2"/>
        <v>21.8</v>
      </c>
      <c r="M21" s="13">
        <v>68358.67</v>
      </c>
      <c r="N21" s="13">
        <v>5.01</v>
      </c>
    </row>
    <row r="22" spans="1:14" x14ac:dyDescent="0.35">
      <c r="A22" s="4">
        <v>8</v>
      </c>
      <c r="B22" s="5" t="s">
        <v>23</v>
      </c>
      <c r="C22" s="6" t="s">
        <v>9</v>
      </c>
      <c r="D22" s="7" t="s">
        <v>10</v>
      </c>
      <c r="E22" s="7" t="s">
        <v>81</v>
      </c>
      <c r="F22" s="7">
        <v>18</v>
      </c>
      <c r="G22" s="8">
        <v>11.5</v>
      </c>
      <c r="H22" s="9">
        <f t="shared" si="0"/>
        <v>51.75</v>
      </c>
      <c r="I22" s="7"/>
      <c r="J22" s="4">
        <v>600</v>
      </c>
      <c r="K22" s="11">
        <f t="shared" si="1"/>
        <v>400</v>
      </c>
      <c r="L22" s="15">
        <f t="shared" si="2"/>
        <v>32.700000000000003</v>
      </c>
      <c r="M22" s="13">
        <v>123350</v>
      </c>
      <c r="N22" s="13">
        <v>8.61</v>
      </c>
    </row>
    <row r="23" spans="1:14" x14ac:dyDescent="0.35">
      <c r="A23" s="4">
        <v>23</v>
      </c>
      <c r="B23" s="5" t="s">
        <v>33</v>
      </c>
      <c r="C23" s="6" t="s">
        <v>9</v>
      </c>
      <c r="D23" s="7" t="s">
        <v>10</v>
      </c>
      <c r="E23" s="7" t="s">
        <v>81</v>
      </c>
      <c r="F23" s="7">
        <v>18</v>
      </c>
      <c r="G23" s="8">
        <v>7</v>
      </c>
      <c r="H23" s="9">
        <f t="shared" si="0"/>
        <v>31.5</v>
      </c>
      <c r="I23" s="7"/>
      <c r="J23" s="4">
        <v>600</v>
      </c>
      <c r="K23" s="11">
        <f t="shared" si="1"/>
        <v>400</v>
      </c>
      <c r="L23" s="15">
        <f t="shared" si="2"/>
        <v>32.700000000000003</v>
      </c>
      <c r="M23" s="13">
        <v>70297.67</v>
      </c>
      <c r="N23" s="13">
        <v>4.47</v>
      </c>
    </row>
    <row r="24" spans="1:14" x14ac:dyDescent="0.35">
      <c r="A24" s="4">
        <v>34</v>
      </c>
      <c r="B24" s="5" t="s">
        <v>48</v>
      </c>
      <c r="C24" s="6" t="s">
        <v>12</v>
      </c>
      <c r="D24" s="7" t="s">
        <v>17</v>
      </c>
      <c r="E24" s="7" t="s">
        <v>81</v>
      </c>
      <c r="F24" s="7">
        <v>18</v>
      </c>
      <c r="G24" s="8">
        <v>9.1999999999999993</v>
      </c>
      <c r="H24" s="9">
        <f t="shared" si="0"/>
        <v>41.4</v>
      </c>
      <c r="I24" s="7"/>
      <c r="J24" s="4">
        <v>600</v>
      </c>
      <c r="K24" s="11">
        <f t="shared" si="1"/>
        <v>400</v>
      </c>
      <c r="L24" s="15">
        <f t="shared" si="2"/>
        <v>32.700000000000003</v>
      </c>
      <c r="M24" s="13">
        <v>44825.33</v>
      </c>
      <c r="N24" s="13">
        <v>3.22</v>
      </c>
    </row>
    <row r="25" spans="1:14" s="24" customFormat="1" x14ac:dyDescent="0.35">
      <c r="A25" s="16">
        <v>58</v>
      </c>
      <c r="B25" s="17" t="s">
        <v>35</v>
      </c>
      <c r="C25" s="18" t="s">
        <v>12</v>
      </c>
      <c r="D25" s="19" t="s">
        <v>17</v>
      </c>
      <c r="E25" s="19" t="s">
        <v>83</v>
      </c>
      <c r="F25" s="19">
        <v>21</v>
      </c>
      <c r="G25" s="20">
        <v>12.18</v>
      </c>
      <c r="H25" s="21">
        <f t="shared" si="0"/>
        <v>54.81</v>
      </c>
      <c r="I25" s="19"/>
      <c r="J25" s="16">
        <v>600</v>
      </c>
      <c r="K25" s="22">
        <f t="shared" si="1"/>
        <v>400</v>
      </c>
      <c r="L25" s="21">
        <f t="shared" si="2"/>
        <v>32.700000000000003</v>
      </c>
      <c r="M25" s="23">
        <v>0</v>
      </c>
      <c r="N25" s="23">
        <v>4.47</v>
      </c>
    </row>
    <row r="26" spans="1:14" x14ac:dyDescent="0.35">
      <c r="A26" s="4">
        <v>5</v>
      </c>
      <c r="B26" s="5" t="s">
        <v>19</v>
      </c>
      <c r="C26" s="6" t="s">
        <v>9</v>
      </c>
      <c r="D26" s="7" t="s">
        <v>10</v>
      </c>
      <c r="E26" s="7" t="s">
        <v>83</v>
      </c>
      <c r="F26" s="7">
        <v>21</v>
      </c>
      <c r="G26" s="8">
        <v>6.9</v>
      </c>
      <c r="H26" s="9">
        <f t="shared" si="0"/>
        <v>31.05</v>
      </c>
      <c r="I26" s="7"/>
      <c r="J26" s="4">
        <v>800</v>
      </c>
      <c r="K26" s="11">
        <f t="shared" si="1"/>
        <v>200</v>
      </c>
      <c r="L26" s="15">
        <f t="shared" si="2"/>
        <v>43.6</v>
      </c>
      <c r="M26" s="13">
        <v>137503</v>
      </c>
      <c r="N26" s="13">
        <v>7.68</v>
      </c>
    </row>
    <row r="27" spans="1:14" x14ac:dyDescent="0.35">
      <c r="A27" s="4">
        <v>42</v>
      </c>
      <c r="B27" s="5" t="s">
        <v>67</v>
      </c>
      <c r="C27" s="6" t="s">
        <v>12</v>
      </c>
      <c r="D27" s="7" t="s">
        <v>17</v>
      </c>
      <c r="E27" s="7" t="s">
        <v>82</v>
      </c>
      <c r="F27" s="7">
        <v>12</v>
      </c>
      <c r="G27" s="8">
        <v>8.0500000000000007</v>
      </c>
      <c r="H27" s="9">
        <f t="shared" si="0"/>
        <v>36.225000000000001</v>
      </c>
      <c r="I27" s="7"/>
      <c r="J27" s="4">
        <v>800</v>
      </c>
      <c r="K27" s="11">
        <f t="shared" si="1"/>
        <v>200</v>
      </c>
      <c r="L27" s="15">
        <f t="shared" si="2"/>
        <v>43.6</v>
      </c>
      <c r="M27" s="13">
        <v>34205.67</v>
      </c>
      <c r="N27" s="13">
        <v>2.29</v>
      </c>
    </row>
    <row r="28" spans="1:14" x14ac:dyDescent="0.35">
      <c r="A28" s="4">
        <v>13</v>
      </c>
      <c r="B28" s="5" t="s">
        <v>49</v>
      </c>
      <c r="C28" s="6" t="s">
        <v>9</v>
      </c>
      <c r="D28" s="7" t="s">
        <v>17</v>
      </c>
      <c r="E28" s="7" t="s">
        <v>81</v>
      </c>
      <c r="F28" s="7">
        <v>18</v>
      </c>
      <c r="G28" s="8">
        <v>9.1999999999999993</v>
      </c>
      <c r="H28" s="9">
        <f t="shared" si="0"/>
        <v>41.4</v>
      </c>
      <c r="I28" s="7"/>
      <c r="J28" s="4">
        <v>600</v>
      </c>
      <c r="K28" s="11">
        <f t="shared" si="1"/>
        <v>400</v>
      </c>
      <c r="L28" s="15">
        <f t="shared" si="2"/>
        <v>32.700000000000003</v>
      </c>
      <c r="M28" s="13">
        <v>95096.67</v>
      </c>
      <c r="N28" s="13">
        <v>6.38</v>
      </c>
    </row>
    <row r="29" spans="1:14" x14ac:dyDescent="0.35">
      <c r="A29" s="4">
        <v>33</v>
      </c>
      <c r="B29" s="5" t="s">
        <v>54</v>
      </c>
      <c r="C29" s="6" t="s">
        <v>9</v>
      </c>
      <c r="D29" s="7" t="s">
        <v>17</v>
      </c>
      <c r="E29" s="7" t="s">
        <v>81</v>
      </c>
      <c r="F29" s="7">
        <v>18</v>
      </c>
      <c r="G29" s="8">
        <v>10.35</v>
      </c>
      <c r="H29" s="9">
        <f t="shared" si="0"/>
        <v>46.574999999999996</v>
      </c>
      <c r="I29" s="7"/>
      <c r="J29" s="4">
        <v>400</v>
      </c>
      <c r="K29" s="11">
        <f t="shared" si="1"/>
        <v>600</v>
      </c>
      <c r="L29" s="15">
        <f t="shared" si="2"/>
        <v>21.8</v>
      </c>
      <c r="M29" s="13">
        <v>47565</v>
      </c>
      <c r="N29" s="13">
        <v>2.67</v>
      </c>
    </row>
    <row r="30" spans="1:14" x14ac:dyDescent="0.35">
      <c r="A30" s="4">
        <v>26</v>
      </c>
      <c r="B30" s="5" t="s">
        <v>44</v>
      </c>
      <c r="C30" s="6" t="s">
        <v>9</v>
      </c>
      <c r="D30" s="7" t="s">
        <v>17</v>
      </c>
      <c r="E30" s="7" t="s">
        <v>81</v>
      </c>
      <c r="F30" s="7">
        <v>18</v>
      </c>
      <c r="G30" s="8">
        <v>7.49</v>
      </c>
      <c r="H30" s="9">
        <f t="shared" si="0"/>
        <v>33.704999999999998</v>
      </c>
      <c r="I30" s="7"/>
      <c r="J30" s="4">
        <v>600</v>
      </c>
      <c r="K30" s="11">
        <f t="shared" si="1"/>
        <v>400</v>
      </c>
      <c r="L30" s="15">
        <f t="shared" si="2"/>
        <v>32.700000000000003</v>
      </c>
      <c r="M30" s="13">
        <v>65027.33</v>
      </c>
      <c r="N30" s="13">
        <v>3.92</v>
      </c>
    </row>
    <row r="31" spans="1:14" x14ac:dyDescent="0.35">
      <c r="A31" s="4">
        <v>55</v>
      </c>
      <c r="B31" s="5" t="s">
        <v>24</v>
      </c>
      <c r="C31" s="6" t="s">
        <v>9</v>
      </c>
      <c r="D31" s="7" t="s">
        <v>17</v>
      </c>
      <c r="E31" s="7" t="s">
        <v>83</v>
      </c>
      <c r="F31" s="7">
        <v>21</v>
      </c>
      <c r="G31" s="8">
        <v>11</v>
      </c>
      <c r="H31" s="9">
        <f t="shared" si="0"/>
        <v>49.5</v>
      </c>
      <c r="I31" s="7"/>
      <c r="J31" s="4">
        <v>800</v>
      </c>
      <c r="K31" s="11">
        <f t="shared" si="1"/>
        <v>200</v>
      </c>
      <c r="L31" s="15">
        <f t="shared" si="2"/>
        <v>43.6</v>
      </c>
      <c r="M31" s="13">
        <v>162778.75</v>
      </c>
      <c r="N31" s="13">
        <v>7.63</v>
      </c>
    </row>
    <row r="32" spans="1:14" x14ac:dyDescent="0.35">
      <c r="A32" s="4">
        <v>4</v>
      </c>
      <c r="B32" s="5" t="s">
        <v>14</v>
      </c>
      <c r="C32" s="6" t="s">
        <v>9</v>
      </c>
      <c r="D32" s="7" t="s">
        <v>10</v>
      </c>
      <c r="E32" s="7" t="s">
        <v>81</v>
      </c>
      <c r="F32" s="7">
        <v>18</v>
      </c>
      <c r="G32" s="8">
        <v>11</v>
      </c>
      <c r="H32" s="9">
        <f t="shared" si="0"/>
        <v>49.5</v>
      </c>
      <c r="I32" s="7"/>
      <c r="J32" s="4">
        <v>800</v>
      </c>
      <c r="K32" s="11">
        <f t="shared" si="1"/>
        <v>200</v>
      </c>
      <c r="L32" s="15">
        <f t="shared" si="2"/>
        <v>43.6</v>
      </c>
      <c r="M32" s="13">
        <v>164803.67000000001</v>
      </c>
      <c r="N32" s="13">
        <v>8.7200000000000006</v>
      </c>
    </row>
    <row r="33" spans="1:14" x14ac:dyDescent="0.35">
      <c r="A33" s="4">
        <v>18</v>
      </c>
      <c r="B33" s="5" t="s">
        <v>29</v>
      </c>
      <c r="C33" s="6" t="s">
        <v>9</v>
      </c>
      <c r="D33" s="7" t="s">
        <v>17</v>
      </c>
      <c r="E33" s="7" t="s">
        <v>81</v>
      </c>
      <c r="F33" s="7">
        <v>18</v>
      </c>
      <c r="G33" s="8">
        <v>6.9</v>
      </c>
      <c r="H33" s="9">
        <f t="shared" si="0"/>
        <v>31.05</v>
      </c>
      <c r="I33" s="7"/>
      <c r="J33" s="4">
        <v>600</v>
      </c>
      <c r="K33" s="11">
        <f t="shared" si="1"/>
        <v>400</v>
      </c>
      <c r="L33" s="15">
        <f t="shared" si="2"/>
        <v>32.700000000000003</v>
      </c>
      <c r="M33" s="13">
        <v>78474.67</v>
      </c>
      <c r="N33" s="13">
        <v>4.74</v>
      </c>
    </row>
    <row r="34" spans="1:14" s="24" customFormat="1" x14ac:dyDescent="0.35">
      <c r="A34" s="16">
        <v>53</v>
      </c>
      <c r="B34" s="17" t="s">
        <v>20</v>
      </c>
      <c r="C34" s="18" t="s">
        <v>9</v>
      </c>
      <c r="D34" s="19" t="s">
        <v>10</v>
      </c>
      <c r="E34" s="19" t="s">
        <v>81</v>
      </c>
      <c r="F34" s="19">
        <v>18</v>
      </c>
      <c r="G34" s="20">
        <v>14</v>
      </c>
      <c r="H34" s="21">
        <f t="shared" ref="H34:H65" si="3">G34*4.5</f>
        <v>63</v>
      </c>
      <c r="I34" s="19"/>
      <c r="J34" s="16">
        <v>600</v>
      </c>
      <c r="K34" s="22">
        <f t="shared" ref="K34:K65" si="4">1000-J34</f>
        <v>400</v>
      </c>
      <c r="L34" s="21">
        <f t="shared" ref="L34:L65" si="5">(J34*54.5)/1000</f>
        <v>32.700000000000003</v>
      </c>
      <c r="M34" s="23">
        <v>0</v>
      </c>
      <c r="N34" s="23">
        <v>7.9</v>
      </c>
    </row>
    <row r="35" spans="1:14" s="24" customFormat="1" x14ac:dyDescent="0.35">
      <c r="A35" s="16">
        <v>62</v>
      </c>
      <c r="B35" s="17" t="s">
        <v>41</v>
      </c>
      <c r="C35" s="18" t="s">
        <v>9</v>
      </c>
      <c r="D35" s="19" t="s">
        <v>17</v>
      </c>
      <c r="E35" s="19" t="s">
        <v>81</v>
      </c>
      <c r="F35" s="19">
        <v>18</v>
      </c>
      <c r="G35" s="20">
        <v>10.35</v>
      </c>
      <c r="H35" s="21">
        <f t="shared" si="3"/>
        <v>46.574999999999996</v>
      </c>
      <c r="I35" s="19"/>
      <c r="J35" s="16">
        <v>600</v>
      </c>
      <c r="K35" s="22">
        <f t="shared" si="4"/>
        <v>400</v>
      </c>
      <c r="L35" s="21">
        <f t="shared" si="5"/>
        <v>32.700000000000003</v>
      </c>
      <c r="M35" s="23">
        <v>0</v>
      </c>
      <c r="N35" s="23">
        <v>4.47</v>
      </c>
    </row>
    <row r="36" spans="1:14" x14ac:dyDescent="0.35">
      <c r="A36" s="4">
        <v>22</v>
      </c>
      <c r="B36" s="5" t="s">
        <v>42</v>
      </c>
      <c r="C36" s="6" t="s">
        <v>9</v>
      </c>
      <c r="D36" s="7" t="s">
        <v>17</v>
      </c>
      <c r="E36" s="7" t="s">
        <v>82</v>
      </c>
      <c r="F36" s="7">
        <v>12</v>
      </c>
      <c r="G36" s="8">
        <v>8.0500000000000007</v>
      </c>
      <c r="H36" s="9">
        <f t="shared" si="3"/>
        <v>36.225000000000001</v>
      </c>
      <c r="I36" s="7"/>
      <c r="J36" s="4">
        <v>400</v>
      </c>
      <c r="K36" s="11">
        <f t="shared" si="4"/>
        <v>600</v>
      </c>
      <c r="L36" s="15">
        <f t="shared" si="5"/>
        <v>21.8</v>
      </c>
      <c r="M36" s="13">
        <v>70407.33</v>
      </c>
      <c r="N36" s="13">
        <v>4.3600000000000003</v>
      </c>
    </row>
    <row r="37" spans="1:14" x14ac:dyDescent="0.35">
      <c r="A37" s="4">
        <v>43</v>
      </c>
      <c r="B37" s="5" t="s">
        <v>59</v>
      </c>
      <c r="C37" s="6" t="s">
        <v>9</v>
      </c>
      <c r="D37" s="7" t="s">
        <v>17</v>
      </c>
      <c r="E37" s="7" t="s">
        <v>82</v>
      </c>
      <c r="F37" s="7">
        <v>12</v>
      </c>
      <c r="G37" s="8">
        <v>8.0500000000000007</v>
      </c>
      <c r="H37" s="9">
        <f t="shared" si="3"/>
        <v>36.225000000000001</v>
      </c>
      <c r="I37" s="7"/>
      <c r="J37" s="4">
        <v>400</v>
      </c>
      <c r="K37" s="11">
        <f t="shared" si="4"/>
        <v>600</v>
      </c>
      <c r="L37" s="15">
        <f t="shared" si="5"/>
        <v>21.8</v>
      </c>
      <c r="M37" s="13">
        <v>33986</v>
      </c>
      <c r="N37" s="13">
        <v>2.02</v>
      </c>
    </row>
    <row r="38" spans="1:14" x14ac:dyDescent="0.35">
      <c r="A38" s="4">
        <v>20</v>
      </c>
      <c r="B38" s="5" t="s">
        <v>53</v>
      </c>
      <c r="C38" s="6" t="s">
        <v>9</v>
      </c>
      <c r="D38" s="7" t="s">
        <v>17</v>
      </c>
      <c r="E38" s="7" t="s">
        <v>81</v>
      </c>
      <c r="F38" s="7">
        <v>18</v>
      </c>
      <c r="G38" s="8">
        <v>9.1999999999999993</v>
      </c>
      <c r="H38" s="9">
        <f t="shared" si="3"/>
        <v>41.4</v>
      </c>
      <c r="I38" s="7"/>
      <c r="J38" s="4">
        <v>600</v>
      </c>
      <c r="K38" s="11">
        <f t="shared" si="4"/>
        <v>400</v>
      </c>
      <c r="L38" s="15">
        <f t="shared" si="5"/>
        <v>32.700000000000003</v>
      </c>
      <c r="M38" s="13">
        <v>73219</v>
      </c>
      <c r="N38" s="13">
        <v>5.8</v>
      </c>
    </row>
    <row r="39" spans="1:14" x14ac:dyDescent="0.35">
      <c r="A39" s="4">
        <v>50</v>
      </c>
      <c r="B39" s="5" t="s">
        <v>75</v>
      </c>
      <c r="C39" s="6" t="s">
        <v>9</v>
      </c>
      <c r="D39" s="7" t="s">
        <v>17</v>
      </c>
      <c r="E39" s="7" t="s">
        <v>82</v>
      </c>
      <c r="F39" s="7">
        <v>12</v>
      </c>
      <c r="G39" s="8">
        <v>8.0500000000000007</v>
      </c>
      <c r="H39" s="9">
        <f t="shared" si="3"/>
        <v>36.225000000000001</v>
      </c>
      <c r="I39" s="7"/>
      <c r="J39" s="4">
        <v>400</v>
      </c>
      <c r="K39" s="11">
        <f t="shared" si="4"/>
        <v>600</v>
      </c>
      <c r="L39" s="15">
        <f t="shared" si="5"/>
        <v>21.8</v>
      </c>
      <c r="M39" s="13">
        <v>20274.669999999998</v>
      </c>
      <c r="N39" s="13">
        <v>2.23</v>
      </c>
    </row>
    <row r="40" spans="1:14" x14ac:dyDescent="0.35">
      <c r="A40" s="4">
        <v>56</v>
      </c>
      <c r="B40" s="5" t="s">
        <v>28</v>
      </c>
      <c r="C40" s="6" t="s">
        <v>12</v>
      </c>
      <c r="D40" s="7" t="s">
        <v>10</v>
      </c>
      <c r="E40" s="7" t="s">
        <v>81</v>
      </c>
      <c r="F40" s="7">
        <v>18</v>
      </c>
      <c r="G40" s="8">
        <v>13.8</v>
      </c>
      <c r="H40" s="9">
        <f t="shared" si="3"/>
        <v>62.1</v>
      </c>
      <c r="I40" s="7"/>
      <c r="J40" s="4">
        <v>800</v>
      </c>
      <c r="K40" s="11">
        <f t="shared" si="4"/>
        <v>200</v>
      </c>
      <c r="L40" s="15">
        <f t="shared" si="5"/>
        <v>43.6</v>
      </c>
      <c r="M40" s="13">
        <v>108978</v>
      </c>
      <c r="N40" s="13">
        <v>6.32</v>
      </c>
    </row>
    <row r="41" spans="1:14" x14ac:dyDescent="0.35">
      <c r="A41" s="4">
        <v>21</v>
      </c>
      <c r="B41" s="5" t="s">
        <v>32</v>
      </c>
      <c r="C41" s="6" t="s">
        <v>12</v>
      </c>
      <c r="D41" s="7" t="s">
        <v>17</v>
      </c>
      <c r="E41" s="7" t="s">
        <v>81</v>
      </c>
      <c r="F41" s="7">
        <v>18</v>
      </c>
      <c r="G41" s="8">
        <v>10.35</v>
      </c>
      <c r="H41" s="9">
        <f t="shared" si="3"/>
        <v>46.574999999999996</v>
      </c>
      <c r="I41" s="7"/>
      <c r="J41" s="4">
        <v>400</v>
      </c>
      <c r="K41" s="11">
        <f t="shared" si="4"/>
        <v>600</v>
      </c>
      <c r="L41" s="15">
        <f t="shared" si="5"/>
        <v>21.8</v>
      </c>
      <c r="M41" s="13">
        <v>72811</v>
      </c>
      <c r="N41" s="13">
        <v>4.8</v>
      </c>
    </row>
    <row r="42" spans="1:14" x14ac:dyDescent="0.35">
      <c r="A42" s="4">
        <v>40</v>
      </c>
      <c r="B42" s="5" t="s">
        <v>60</v>
      </c>
      <c r="C42" s="6" t="s">
        <v>9</v>
      </c>
      <c r="D42" s="7" t="s">
        <v>17</v>
      </c>
      <c r="E42" s="7" t="s">
        <v>82</v>
      </c>
      <c r="F42" s="7">
        <v>12</v>
      </c>
      <c r="G42" s="8">
        <v>8.0500000000000007</v>
      </c>
      <c r="H42" s="9">
        <f t="shared" si="3"/>
        <v>36.225000000000001</v>
      </c>
      <c r="I42" s="7"/>
      <c r="J42" s="4">
        <v>400</v>
      </c>
      <c r="K42" s="11">
        <f t="shared" si="4"/>
        <v>600</v>
      </c>
      <c r="L42" s="15">
        <f t="shared" si="5"/>
        <v>21.8</v>
      </c>
      <c r="M42" s="13">
        <v>34730.67</v>
      </c>
      <c r="N42" s="13">
        <v>2.56</v>
      </c>
    </row>
    <row r="43" spans="1:14" x14ac:dyDescent="0.35">
      <c r="A43" s="4">
        <v>37</v>
      </c>
      <c r="B43" s="5" t="s">
        <v>57</v>
      </c>
      <c r="C43" s="6" t="s">
        <v>12</v>
      </c>
      <c r="D43" s="7" t="s">
        <v>17</v>
      </c>
      <c r="E43" s="7" t="s">
        <v>81</v>
      </c>
      <c r="F43" s="7">
        <v>18</v>
      </c>
      <c r="G43" s="8">
        <v>13.8</v>
      </c>
      <c r="H43" s="9">
        <f t="shared" si="3"/>
        <v>62.1</v>
      </c>
      <c r="I43" s="7"/>
      <c r="J43" s="4">
        <v>700</v>
      </c>
      <c r="K43" s="11">
        <f t="shared" si="4"/>
        <v>300</v>
      </c>
      <c r="L43" s="15">
        <f t="shared" si="5"/>
        <v>38.15</v>
      </c>
      <c r="M43" s="13">
        <v>37317.33</v>
      </c>
      <c r="N43" s="13">
        <v>2.78</v>
      </c>
    </row>
    <row r="44" spans="1:14" x14ac:dyDescent="0.35">
      <c r="A44" s="4">
        <v>38</v>
      </c>
      <c r="B44" s="5" t="s">
        <v>70</v>
      </c>
      <c r="C44" s="6" t="s">
        <v>9</v>
      </c>
      <c r="D44" s="7" t="s">
        <v>17</v>
      </c>
      <c r="E44" s="7" t="s">
        <v>82</v>
      </c>
      <c r="F44" s="7">
        <v>12</v>
      </c>
      <c r="G44" s="8">
        <v>8.0500000000000007</v>
      </c>
      <c r="H44" s="9">
        <f t="shared" si="3"/>
        <v>36.225000000000001</v>
      </c>
      <c r="I44" s="7"/>
      <c r="J44" s="4">
        <v>400</v>
      </c>
      <c r="K44" s="11">
        <f t="shared" si="4"/>
        <v>600</v>
      </c>
      <c r="L44" s="15">
        <f t="shared" si="5"/>
        <v>21.8</v>
      </c>
      <c r="M44" s="13">
        <v>36419</v>
      </c>
      <c r="N44" s="13">
        <v>2.29</v>
      </c>
    </row>
    <row r="45" spans="1:14" s="24" customFormat="1" x14ac:dyDescent="0.35">
      <c r="A45" s="16">
        <v>59</v>
      </c>
      <c r="B45" s="17" t="s">
        <v>36</v>
      </c>
      <c r="C45" s="18" t="s">
        <v>12</v>
      </c>
      <c r="D45" s="19" t="s">
        <v>17</v>
      </c>
      <c r="E45" s="19" t="s">
        <v>81</v>
      </c>
      <c r="F45" s="19">
        <v>18</v>
      </c>
      <c r="G45" s="20">
        <v>11.5</v>
      </c>
      <c r="H45" s="21">
        <f t="shared" si="3"/>
        <v>51.75</v>
      </c>
      <c r="I45" s="19"/>
      <c r="J45" s="16">
        <v>800</v>
      </c>
      <c r="K45" s="22">
        <f t="shared" si="4"/>
        <v>200</v>
      </c>
      <c r="L45" s="21">
        <f t="shared" si="5"/>
        <v>43.6</v>
      </c>
      <c r="M45" s="23">
        <v>0</v>
      </c>
      <c r="N45" s="23">
        <v>3.38</v>
      </c>
    </row>
    <row r="46" spans="1:14" x14ac:dyDescent="0.35">
      <c r="A46" s="4">
        <v>46</v>
      </c>
      <c r="B46" s="5" t="s">
        <v>63</v>
      </c>
      <c r="C46" s="6" t="s">
        <v>9</v>
      </c>
      <c r="D46" s="7" t="s">
        <v>17</v>
      </c>
      <c r="E46" s="7" t="s">
        <v>82</v>
      </c>
      <c r="F46" s="7">
        <v>12</v>
      </c>
      <c r="G46" s="8">
        <v>8.0500000000000007</v>
      </c>
      <c r="H46" s="9">
        <f t="shared" si="3"/>
        <v>36.225000000000001</v>
      </c>
      <c r="I46" s="7"/>
      <c r="J46" s="4">
        <v>400</v>
      </c>
      <c r="K46" s="11">
        <f t="shared" si="4"/>
        <v>600</v>
      </c>
      <c r="L46" s="15">
        <f t="shared" si="5"/>
        <v>21.8</v>
      </c>
      <c r="M46" s="13">
        <v>30677</v>
      </c>
      <c r="N46" s="13">
        <v>2.4500000000000002</v>
      </c>
    </row>
    <row r="47" spans="1:14" x14ac:dyDescent="0.35">
      <c r="A47" s="4">
        <v>35</v>
      </c>
      <c r="B47" s="5" t="s">
        <v>56</v>
      </c>
      <c r="C47" s="6" t="s">
        <v>9</v>
      </c>
      <c r="D47" s="7" t="s">
        <v>17</v>
      </c>
      <c r="E47" s="7" t="s">
        <v>81</v>
      </c>
      <c r="F47" s="7">
        <v>18</v>
      </c>
      <c r="G47" s="8">
        <v>9.1999999999999993</v>
      </c>
      <c r="H47" s="9">
        <f t="shared" si="3"/>
        <v>41.4</v>
      </c>
      <c r="I47" s="7"/>
      <c r="J47" s="4">
        <v>400</v>
      </c>
      <c r="K47" s="11">
        <f t="shared" si="4"/>
        <v>600</v>
      </c>
      <c r="L47" s="15">
        <f t="shared" si="5"/>
        <v>21.8</v>
      </c>
      <c r="M47" s="13">
        <v>43806.33</v>
      </c>
      <c r="N47" s="13">
        <v>2.78</v>
      </c>
    </row>
    <row r="48" spans="1:14" x14ac:dyDescent="0.35">
      <c r="A48" s="4">
        <v>27</v>
      </c>
      <c r="B48" s="5" t="s">
        <v>47</v>
      </c>
      <c r="C48" s="6" t="s">
        <v>9</v>
      </c>
      <c r="D48" s="7" t="s">
        <v>17</v>
      </c>
      <c r="E48" s="7" t="s">
        <v>81</v>
      </c>
      <c r="F48" s="7">
        <v>18</v>
      </c>
      <c r="G48" s="8">
        <v>7</v>
      </c>
      <c r="H48" s="9">
        <f t="shared" si="3"/>
        <v>31.5</v>
      </c>
      <c r="I48" s="7"/>
      <c r="J48" s="4">
        <v>600</v>
      </c>
      <c r="K48" s="11">
        <f t="shared" si="4"/>
        <v>400</v>
      </c>
      <c r="L48" s="15">
        <f t="shared" si="5"/>
        <v>32.700000000000003</v>
      </c>
      <c r="M48" s="13">
        <v>60764</v>
      </c>
      <c r="N48" s="13">
        <v>3.65</v>
      </c>
    </row>
    <row r="49" spans="1:14" x14ac:dyDescent="0.35">
      <c r="A49" s="4">
        <v>64</v>
      </c>
      <c r="B49" s="5" t="s">
        <v>66</v>
      </c>
      <c r="C49" s="6" t="s">
        <v>9</v>
      </c>
      <c r="D49" s="7" t="s">
        <v>17</v>
      </c>
      <c r="E49" s="7" t="s">
        <v>82</v>
      </c>
      <c r="F49" s="7">
        <v>12</v>
      </c>
      <c r="G49" s="8">
        <v>8.0500000000000007</v>
      </c>
      <c r="H49" s="9">
        <f t="shared" si="3"/>
        <v>36.225000000000001</v>
      </c>
      <c r="I49" s="7"/>
      <c r="J49" s="4">
        <v>400</v>
      </c>
      <c r="K49" s="11">
        <f t="shared" si="4"/>
        <v>600</v>
      </c>
      <c r="L49" s="15">
        <f t="shared" si="5"/>
        <v>21.8</v>
      </c>
      <c r="M49" s="13">
        <v>40580</v>
      </c>
      <c r="N49" s="13">
        <v>3.98</v>
      </c>
    </row>
    <row r="50" spans="1:14" s="24" customFormat="1" x14ac:dyDescent="0.35">
      <c r="A50" s="16">
        <v>61</v>
      </c>
      <c r="B50" s="17" t="s">
        <v>39</v>
      </c>
      <c r="C50" s="18" t="s">
        <v>12</v>
      </c>
      <c r="D50" s="19" t="s">
        <v>17</v>
      </c>
      <c r="E50" s="19" t="s">
        <v>82</v>
      </c>
      <c r="F50" s="19">
        <v>12</v>
      </c>
      <c r="G50" s="20">
        <v>11.5</v>
      </c>
      <c r="H50" s="21">
        <f t="shared" si="3"/>
        <v>51.75</v>
      </c>
      <c r="I50" s="19"/>
      <c r="J50" s="16">
        <v>600</v>
      </c>
      <c r="K50" s="22">
        <f t="shared" si="4"/>
        <v>400</v>
      </c>
      <c r="L50" s="21">
        <f t="shared" si="5"/>
        <v>32.700000000000003</v>
      </c>
      <c r="M50" s="23">
        <v>0</v>
      </c>
      <c r="N50" s="23">
        <v>3.54</v>
      </c>
    </row>
    <row r="51" spans="1:14" x14ac:dyDescent="0.35">
      <c r="A51" s="4">
        <v>49</v>
      </c>
      <c r="B51" s="5" t="s">
        <v>71</v>
      </c>
      <c r="C51" s="6" t="s">
        <v>9</v>
      </c>
      <c r="D51" s="7" t="s">
        <v>17</v>
      </c>
      <c r="E51" s="7" t="s">
        <v>82</v>
      </c>
      <c r="F51" s="7">
        <v>12</v>
      </c>
      <c r="G51" s="8">
        <v>8.0500000000000007</v>
      </c>
      <c r="H51" s="9">
        <f t="shared" si="3"/>
        <v>36.225000000000001</v>
      </c>
      <c r="I51" s="7"/>
      <c r="J51" s="4">
        <v>400</v>
      </c>
      <c r="K51" s="11">
        <f t="shared" si="4"/>
        <v>600</v>
      </c>
      <c r="L51" s="15">
        <f t="shared" si="5"/>
        <v>21.8</v>
      </c>
      <c r="M51" s="13">
        <v>23700</v>
      </c>
      <c r="N51" s="13">
        <v>2.02</v>
      </c>
    </row>
    <row r="52" spans="1:14" s="24" customFormat="1" x14ac:dyDescent="0.35">
      <c r="A52" s="16">
        <v>60</v>
      </c>
      <c r="B52" s="17" t="s">
        <v>38</v>
      </c>
      <c r="C52" s="18" t="s">
        <v>12</v>
      </c>
      <c r="D52" s="19" t="s">
        <v>10</v>
      </c>
      <c r="E52" s="19" t="s">
        <v>81</v>
      </c>
      <c r="F52" s="19">
        <v>18</v>
      </c>
      <c r="G52" s="20">
        <v>14.95</v>
      </c>
      <c r="H52" s="21">
        <f t="shared" si="3"/>
        <v>67.274999999999991</v>
      </c>
      <c r="I52" s="19"/>
      <c r="J52" s="16">
        <v>1000</v>
      </c>
      <c r="K52" s="22">
        <f t="shared" si="4"/>
        <v>0</v>
      </c>
      <c r="L52" s="21">
        <f t="shared" si="5"/>
        <v>54.5</v>
      </c>
      <c r="M52" s="23">
        <v>0</v>
      </c>
      <c r="N52" s="23">
        <v>4.58</v>
      </c>
    </row>
    <row r="53" spans="1:14" x14ac:dyDescent="0.35">
      <c r="A53" s="4">
        <v>6</v>
      </c>
      <c r="B53" s="5" t="s">
        <v>18</v>
      </c>
      <c r="C53" s="6" t="s">
        <v>12</v>
      </c>
      <c r="D53" s="7" t="s">
        <v>10</v>
      </c>
      <c r="E53" s="7" t="s">
        <v>81</v>
      </c>
      <c r="F53" s="7">
        <v>18</v>
      </c>
      <c r="G53" s="8">
        <v>12.074999999999999</v>
      </c>
      <c r="H53" s="9">
        <f t="shared" si="3"/>
        <v>54.337499999999999</v>
      </c>
      <c r="I53" s="7"/>
      <c r="J53" s="4">
        <v>800</v>
      </c>
      <c r="K53" s="11">
        <f t="shared" si="4"/>
        <v>200</v>
      </c>
      <c r="L53" s="15">
        <f t="shared" si="5"/>
        <v>43.6</v>
      </c>
      <c r="M53" s="13">
        <v>132054.32999999999</v>
      </c>
      <c r="N53" s="13">
        <v>8.1199999999999992</v>
      </c>
    </row>
    <row r="54" spans="1:14" x14ac:dyDescent="0.35">
      <c r="A54" s="4">
        <v>2</v>
      </c>
      <c r="B54" s="5" t="s">
        <v>13</v>
      </c>
      <c r="C54" s="6" t="s">
        <v>9</v>
      </c>
      <c r="D54" s="7" t="s">
        <v>10</v>
      </c>
      <c r="E54" s="7" t="s">
        <v>81</v>
      </c>
      <c r="F54" s="7">
        <v>18</v>
      </c>
      <c r="G54" s="8">
        <v>9</v>
      </c>
      <c r="H54" s="9">
        <f t="shared" si="3"/>
        <v>40.5</v>
      </c>
      <c r="I54" s="7"/>
      <c r="J54" s="4">
        <v>1000</v>
      </c>
      <c r="K54" s="11">
        <f t="shared" si="4"/>
        <v>0</v>
      </c>
      <c r="L54" s="15">
        <f t="shared" si="5"/>
        <v>54.5</v>
      </c>
      <c r="M54" s="13">
        <v>180286.67</v>
      </c>
      <c r="N54" s="13">
        <v>10.57</v>
      </c>
    </row>
    <row r="55" spans="1:14" s="24" customFormat="1" x14ac:dyDescent="0.35">
      <c r="A55" s="16">
        <v>52</v>
      </c>
      <c r="B55" s="17" t="s">
        <v>11</v>
      </c>
      <c r="C55" s="18" t="s">
        <v>12</v>
      </c>
      <c r="D55" s="19" t="s">
        <v>10</v>
      </c>
      <c r="E55" s="19" t="s">
        <v>81</v>
      </c>
      <c r="F55" s="19">
        <v>18</v>
      </c>
      <c r="G55" s="20">
        <v>16.675000000000001</v>
      </c>
      <c r="H55" s="21">
        <f t="shared" si="3"/>
        <v>75.037500000000009</v>
      </c>
      <c r="I55" s="19"/>
      <c r="J55" s="16">
        <v>1200</v>
      </c>
      <c r="K55" s="22">
        <f t="shared" si="4"/>
        <v>-200</v>
      </c>
      <c r="L55" s="21">
        <f t="shared" si="5"/>
        <v>65.400000000000006</v>
      </c>
      <c r="M55" s="23">
        <v>0</v>
      </c>
      <c r="N55" s="23">
        <v>10.029999999999999</v>
      </c>
    </row>
    <row r="56" spans="1:14" x14ac:dyDescent="0.35">
      <c r="A56" s="4">
        <v>30</v>
      </c>
      <c r="B56" s="5" t="s">
        <v>52</v>
      </c>
      <c r="C56" s="6" t="s">
        <v>9</v>
      </c>
      <c r="D56" s="7" t="s">
        <v>17</v>
      </c>
      <c r="E56" s="7" t="s">
        <v>81</v>
      </c>
      <c r="F56" s="7">
        <v>18</v>
      </c>
      <c r="G56" s="8">
        <v>11.5</v>
      </c>
      <c r="H56" s="9">
        <f t="shared" si="3"/>
        <v>51.75</v>
      </c>
      <c r="I56" s="7"/>
      <c r="J56" s="4">
        <v>500</v>
      </c>
      <c r="K56" s="11">
        <f t="shared" si="4"/>
        <v>500</v>
      </c>
      <c r="L56" s="15">
        <f t="shared" si="5"/>
        <v>27.25</v>
      </c>
      <c r="M56" s="13">
        <v>50394</v>
      </c>
      <c r="N56" s="13">
        <v>3.16</v>
      </c>
    </row>
    <row r="57" spans="1:14" x14ac:dyDescent="0.35">
      <c r="A57" s="4">
        <v>9</v>
      </c>
      <c r="B57" s="5" t="s">
        <v>25</v>
      </c>
      <c r="C57" s="6" t="s">
        <v>9</v>
      </c>
      <c r="D57" s="7" t="s">
        <v>10</v>
      </c>
      <c r="E57" s="7" t="s">
        <v>81</v>
      </c>
      <c r="F57" s="7">
        <v>18</v>
      </c>
      <c r="G57" s="8">
        <v>13</v>
      </c>
      <c r="H57" s="9">
        <f t="shared" si="3"/>
        <v>58.5</v>
      </c>
      <c r="I57" s="7"/>
      <c r="J57" s="4">
        <v>600</v>
      </c>
      <c r="K57" s="11">
        <f t="shared" si="4"/>
        <v>400</v>
      </c>
      <c r="L57" s="15">
        <f t="shared" si="5"/>
        <v>32.700000000000003</v>
      </c>
      <c r="M57" s="13">
        <v>115123.33</v>
      </c>
      <c r="N57" s="13">
        <v>7.58</v>
      </c>
    </row>
    <row r="58" spans="1:14" x14ac:dyDescent="0.35">
      <c r="A58" s="4">
        <v>51</v>
      </c>
      <c r="B58" s="5" t="s">
        <v>73</v>
      </c>
      <c r="C58" s="6" t="s">
        <v>9</v>
      </c>
      <c r="D58" s="7" t="s">
        <v>17</v>
      </c>
      <c r="E58" s="7" t="s">
        <v>83</v>
      </c>
      <c r="F58" s="7">
        <v>21</v>
      </c>
      <c r="G58" s="8">
        <v>10.35</v>
      </c>
      <c r="H58" s="9">
        <f t="shared" si="3"/>
        <v>46.574999999999996</v>
      </c>
      <c r="I58" s="7"/>
      <c r="J58" s="4">
        <v>600</v>
      </c>
      <c r="K58" s="11">
        <f t="shared" si="4"/>
        <v>400</v>
      </c>
      <c r="L58" s="15">
        <f t="shared" si="5"/>
        <v>32.700000000000003</v>
      </c>
      <c r="M58" s="13">
        <v>12979.67</v>
      </c>
      <c r="N58" s="13">
        <v>1.74</v>
      </c>
    </row>
    <row r="59" spans="1:14" x14ac:dyDescent="0.35">
      <c r="A59" s="4">
        <v>54</v>
      </c>
      <c r="B59" s="5" t="s">
        <v>22</v>
      </c>
      <c r="C59" s="6" t="s">
        <v>9</v>
      </c>
      <c r="D59" s="7" t="s">
        <v>10</v>
      </c>
      <c r="E59" s="7" t="s">
        <v>81</v>
      </c>
      <c r="F59" s="7">
        <v>18</v>
      </c>
      <c r="G59" s="8">
        <v>11.5</v>
      </c>
      <c r="H59" s="9">
        <f t="shared" si="3"/>
        <v>51.75</v>
      </c>
      <c r="I59" s="7"/>
      <c r="J59" s="4">
        <v>600</v>
      </c>
      <c r="K59" s="11">
        <f t="shared" si="4"/>
        <v>400</v>
      </c>
      <c r="L59" s="15">
        <f t="shared" si="5"/>
        <v>32.700000000000003</v>
      </c>
      <c r="M59" s="13">
        <v>104080</v>
      </c>
      <c r="N59" s="13">
        <v>8.34</v>
      </c>
    </row>
    <row r="60" spans="1:14" x14ac:dyDescent="0.35">
      <c r="A60" s="4">
        <v>31</v>
      </c>
      <c r="B60" s="5" t="s">
        <v>65</v>
      </c>
      <c r="C60" s="6" t="s">
        <v>9</v>
      </c>
      <c r="D60" s="7" t="s">
        <v>17</v>
      </c>
      <c r="E60" s="7" t="s">
        <v>82</v>
      </c>
      <c r="F60" s="7">
        <v>12</v>
      </c>
      <c r="G60" s="8">
        <v>8.0500000000000007</v>
      </c>
      <c r="H60" s="9">
        <f t="shared" si="3"/>
        <v>36.225000000000001</v>
      </c>
      <c r="I60" s="7"/>
      <c r="J60" s="4">
        <v>400</v>
      </c>
      <c r="K60" s="11">
        <f t="shared" si="4"/>
        <v>600</v>
      </c>
      <c r="L60" s="15">
        <f t="shared" si="5"/>
        <v>21.8</v>
      </c>
      <c r="M60" s="13">
        <v>50045.67</v>
      </c>
      <c r="N60" s="13">
        <v>3.98</v>
      </c>
    </row>
    <row r="61" spans="1:14" x14ac:dyDescent="0.35">
      <c r="A61" s="4">
        <v>45</v>
      </c>
      <c r="B61" s="5" t="s">
        <v>58</v>
      </c>
      <c r="C61" s="6" t="s">
        <v>12</v>
      </c>
      <c r="D61" s="7" t="s">
        <v>17</v>
      </c>
      <c r="E61" s="7" t="s">
        <v>82</v>
      </c>
      <c r="F61" s="7">
        <v>12</v>
      </c>
      <c r="G61" s="8">
        <v>11.5</v>
      </c>
      <c r="H61" s="9">
        <f t="shared" si="3"/>
        <v>51.75</v>
      </c>
      <c r="I61" s="7"/>
      <c r="J61" s="4">
        <v>400</v>
      </c>
      <c r="K61" s="11">
        <f t="shared" si="4"/>
        <v>600</v>
      </c>
      <c r="L61" s="15">
        <f t="shared" si="5"/>
        <v>21.8</v>
      </c>
      <c r="M61" s="13">
        <v>33520.33</v>
      </c>
      <c r="N61" s="13">
        <v>2.78</v>
      </c>
    </row>
    <row r="62" spans="1:14" x14ac:dyDescent="0.35">
      <c r="A62" s="4">
        <v>12</v>
      </c>
      <c r="B62" s="5" t="s">
        <v>37</v>
      </c>
      <c r="C62" s="6" t="s">
        <v>12</v>
      </c>
      <c r="D62" s="7" t="s">
        <v>10</v>
      </c>
      <c r="E62" s="7" t="s">
        <v>81</v>
      </c>
      <c r="F62" s="7">
        <v>18</v>
      </c>
      <c r="G62" s="8">
        <v>16.675000000000001</v>
      </c>
      <c r="H62" s="9">
        <f t="shared" si="3"/>
        <v>75.037500000000009</v>
      </c>
      <c r="I62" s="7"/>
      <c r="J62" s="4">
        <v>800</v>
      </c>
      <c r="K62" s="11">
        <f t="shared" si="4"/>
        <v>200</v>
      </c>
      <c r="L62" s="15">
        <f t="shared" si="5"/>
        <v>43.6</v>
      </c>
      <c r="M62" s="13">
        <v>96092.5</v>
      </c>
      <c r="N62" s="13">
        <v>7.25</v>
      </c>
    </row>
    <row r="63" spans="1:14" x14ac:dyDescent="0.35">
      <c r="A63" s="4">
        <v>17</v>
      </c>
      <c r="B63" s="5" t="s">
        <v>27</v>
      </c>
      <c r="C63" s="6" t="s">
        <v>12</v>
      </c>
      <c r="D63" s="7" t="s">
        <v>17</v>
      </c>
      <c r="E63" s="7" t="s">
        <v>81</v>
      </c>
      <c r="F63" s="7">
        <v>18</v>
      </c>
      <c r="G63" s="8">
        <v>8.625</v>
      </c>
      <c r="H63" s="9">
        <f t="shared" si="3"/>
        <v>38.8125</v>
      </c>
      <c r="I63" s="7"/>
      <c r="J63" s="4">
        <v>400</v>
      </c>
      <c r="K63" s="11">
        <f t="shared" si="4"/>
        <v>600</v>
      </c>
      <c r="L63" s="15">
        <f t="shared" si="5"/>
        <v>21.8</v>
      </c>
      <c r="M63" s="13">
        <v>87898</v>
      </c>
      <c r="N63" s="13">
        <v>4.96</v>
      </c>
    </row>
    <row r="64" spans="1:14" s="24" customFormat="1" x14ac:dyDescent="0.35">
      <c r="A64" s="16">
        <v>16</v>
      </c>
      <c r="B64" s="17" t="s">
        <v>43</v>
      </c>
      <c r="C64" s="18" t="s">
        <v>12</v>
      </c>
      <c r="D64" s="19" t="s">
        <v>17</v>
      </c>
      <c r="E64" s="19" t="s">
        <v>81</v>
      </c>
      <c r="F64" s="19">
        <v>18</v>
      </c>
      <c r="G64" s="20">
        <v>11.5</v>
      </c>
      <c r="H64" s="21">
        <f t="shared" si="3"/>
        <v>51.75</v>
      </c>
      <c r="I64" s="19"/>
      <c r="J64" s="16">
        <v>800</v>
      </c>
      <c r="K64" s="22">
        <f t="shared" si="4"/>
        <v>200</v>
      </c>
      <c r="L64" s="21">
        <f t="shared" si="5"/>
        <v>43.6</v>
      </c>
      <c r="M64" s="23">
        <v>89628</v>
      </c>
      <c r="N64" s="23">
        <v>6.38</v>
      </c>
    </row>
    <row r="65" spans="1:14" x14ac:dyDescent="0.35">
      <c r="A65" s="4">
        <v>32</v>
      </c>
      <c r="B65" s="5" t="s">
        <v>50</v>
      </c>
      <c r="C65" s="6" t="s">
        <v>12</v>
      </c>
      <c r="D65" s="7" t="s">
        <v>17</v>
      </c>
      <c r="E65" s="7" t="s">
        <v>81</v>
      </c>
      <c r="F65" s="7">
        <v>18</v>
      </c>
      <c r="G65" s="8">
        <v>12.074999999999999</v>
      </c>
      <c r="H65" s="9">
        <f t="shared" si="3"/>
        <v>54.337499999999999</v>
      </c>
      <c r="I65" s="7"/>
      <c r="J65" s="4">
        <v>600</v>
      </c>
      <c r="K65" s="11">
        <f t="shared" si="4"/>
        <v>400</v>
      </c>
      <c r="L65" s="15">
        <f t="shared" si="5"/>
        <v>32.700000000000003</v>
      </c>
      <c r="M65" s="13">
        <v>48480.33</v>
      </c>
      <c r="N65" s="13">
        <v>3.92</v>
      </c>
    </row>
  </sheetData>
  <autoFilter ref="C1:C1000" xr:uid="{6AA46084-F924-4537-8708-65308EBA345A}"/>
  <sortState xmlns:xlrd2="http://schemas.microsoft.com/office/spreadsheetml/2017/richdata2" ref="A2:M65">
    <sortCondition ref="B1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Patel</dc:creator>
  <cp:lastModifiedBy>George Kuria</cp:lastModifiedBy>
  <dcterms:created xsi:type="dcterms:W3CDTF">2026-04-29T12:40:11Z</dcterms:created>
  <dcterms:modified xsi:type="dcterms:W3CDTF">2026-06-08T07:58:47Z</dcterms:modified>
</cp:coreProperties>
</file>